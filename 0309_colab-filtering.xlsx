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uralNetworks-ML-AI\"/>
    </mc:Choice>
  </mc:AlternateContent>
  <xr:revisionPtr revIDLastSave="0" documentId="13_ncr:1_{6B407606-58E1-4AE8-8702-EE64DE30A2A8}" xr6:coauthVersionLast="47" xr6:coauthVersionMax="47" xr10:uidLastSave="{00000000-0000-0000-0000-000000000000}"/>
  <bookViews>
    <workbookView xWindow="28680" yWindow="-120" windowWidth="29040" windowHeight="15720" activeTab="1" xr2:uid="{5BB407C3-9ADD-4A87-8E02-8FF509453AEE}"/>
  </bookViews>
  <sheets>
    <sheet name="Simple" sheetId="1" r:id="rId1"/>
    <sheet name="With Reg" sheetId="3" r:id="rId2"/>
  </sheets>
  <definedNames>
    <definedName name="solver_adj" localSheetId="0" hidden="1">Simple!$L$19:$Z$26,Simple!$C$28:$J$32</definedName>
    <definedName name="solver_adj" localSheetId="1" hidden="1">'With Reg'!$C$28:$J$32,'With Reg'!$L$19:$Z$26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Simple!$Z$39</definedName>
    <definedName name="solver_opt" localSheetId="1" hidden="1">'With Reg'!$AB$41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40" i="3" l="1"/>
  <c r="L28" i="3" a="1"/>
  <c r="AB39" i="3" s="1" a="1"/>
  <c r="C23" i="3"/>
  <c r="C23" i="1"/>
  <c r="AB41" i="3" l="1"/>
  <c r="L28" i="1" a="1"/>
  <c r="Z39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<sst xmlns="http://schemas.openxmlformats.org/spreadsheetml/2006/main" count="88" uniqueCount="25">
  <si>
    <t>M1</t>
  </si>
  <si>
    <t>M2</t>
  </si>
  <si>
    <t>M3</t>
  </si>
  <si>
    <t>M4</t>
  </si>
  <si>
    <t>M5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</si>
  <si>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</si>
  <si>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</si>
  <si>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</si>
  <si>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</si>
  <si>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</si>
  <si>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</si>
  <si>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</si>
  <si>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</si>
  <si>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</si>
  <si>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</si>
  <si>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</si>
  <si>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</si>
  <si>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</si>
  <si>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</si>
  <si>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</si>
  <si>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`=RANDARRAY(5,8,0,C23)</t>
  </si>
  <si>
    <t>`=RANDARRAY(8,15,0,C23)</t>
  </si>
  <si>
    <t>MSE</t>
  </si>
  <si>
    <t>L2</t>
  </si>
  <si>
    <t>Total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</si>
</sst>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wrapText="1"/>
    </xf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E218-2F03-4C56-9EC5-030233AD70AF}">
  <dimension ref="C4:AO39"/>
  <sheetViews>
    <sheetView topLeftCell="C13" zoomScaleNormal="100" workbookViewId="0">
      <selection activeCell="AH34" sqref="A1:XFD1048576"/>
    </sheetView>
  </sheetViews>
  <sheetFormatPr defaultRowHeight="14.5" x14ac:dyDescent="0.35"/>
  <cols>
    <col min="3" max="3" width="5.81640625" customWidth="1"/>
    <col min="11" max="11" width="4.36328125" bestFit="1" customWidth="1"/>
    <col min="12" max="12" width="6.1796875" customWidth="1"/>
    <col min="13" max="14" width="6" bestFit="1" customWidth="1"/>
    <col min="15" max="15" width="5.81640625" bestFit="1" customWidth="1"/>
    <col min="16" max="17" width="6" bestFit="1" customWidth="1"/>
    <col min="18" max="20" width="5.81640625" bestFit="1" customWidth="1"/>
    <col min="21" max="24" width="6" bestFit="1" customWidth="1"/>
    <col min="25" max="26" width="5.81640625" bestFit="1" customWidth="1"/>
    <col min="27" max="29" width="6" bestFit="1" customWidth="1"/>
    <col min="30" max="30" width="5.81640625" bestFit="1" customWidth="1"/>
    <col min="31" max="31" width="6" bestFit="1" customWidth="1"/>
    <col min="32" max="32" width="5.81640625" bestFit="1" customWidth="1"/>
    <col min="33" max="33" width="6" bestFit="1" customWidth="1"/>
    <col min="34" max="34" width="5.81640625" bestFit="1" customWidth="1"/>
    <col min="35" max="35" width="6" bestFit="1" customWidth="1"/>
    <col min="36" max="37" width="5.81640625" bestFit="1" customWidth="1"/>
    <col min="38" max="40" width="6" bestFit="1" customWidth="1"/>
    <col min="41" max="41" width="5.81640625" bestFit="1" customWidth="1"/>
  </cols>
  <sheetData>
    <row r="4" spans="11:26" x14ac:dyDescent="0.35">
      <c r="L4" t="s">
        <v>5</v>
      </c>
      <c r="M4" t="s">
        <v>6</v>
      </c>
      <c r="N4" t="s">
        <v>7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19</v>
      </c>
    </row>
    <row r="5" spans="11:26" x14ac:dyDescent="0.35">
      <c r="K5" t="s">
        <v>0</v>
      </c>
      <c r="L5">
        <v>1</v>
      </c>
      <c r="M5">
        <v>2</v>
      </c>
      <c r="N5">
        <v>5</v>
      </c>
      <c r="O5">
        <v>4</v>
      </c>
      <c r="P5">
        <v>1</v>
      </c>
      <c r="Q5">
        <v>4</v>
      </c>
      <c r="R5">
        <v>2</v>
      </c>
      <c r="S5">
        <v>2</v>
      </c>
      <c r="T5">
        <v>5</v>
      </c>
      <c r="U5">
        <v>3</v>
      </c>
      <c r="V5">
        <v>3</v>
      </c>
      <c r="W5">
        <v>3</v>
      </c>
      <c r="X5">
        <v>4</v>
      </c>
      <c r="Y5">
        <v>2</v>
      </c>
      <c r="Z5">
        <v>3</v>
      </c>
    </row>
    <row r="6" spans="11:26" x14ac:dyDescent="0.35">
      <c r="K6" t="s">
        <v>1</v>
      </c>
      <c r="L6">
        <v>1</v>
      </c>
      <c r="M6">
        <v>5</v>
      </c>
      <c r="N6">
        <v>3</v>
      </c>
      <c r="O6">
        <v>1</v>
      </c>
      <c r="P6">
        <v>3</v>
      </c>
      <c r="Q6">
        <v>4</v>
      </c>
      <c r="R6">
        <v>2</v>
      </c>
      <c r="S6">
        <v>5</v>
      </c>
      <c r="T6">
        <v>3</v>
      </c>
      <c r="U6">
        <v>4</v>
      </c>
      <c r="V6">
        <v>2</v>
      </c>
      <c r="W6">
        <v>4</v>
      </c>
      <c r="X6">
        <v>2</v>
      </c>
      <c r="Y6">
        <v>2</v>
      </c>
      <c r="Z6">
        <v>2</v>
      </c>
    </row>
    <row r="7" spans="11:26" x14ac:dyDescent="0.35">
      <c r="K7" t="s">
        <v>2</v>
      </c>
      <c r="L7">
        <v>3</v>
      </c>
      <c r="M7">
        <v>2</v>
      </c>
      <c r="N7">
        <v>2</v>
      </c>
      <c r="O7">
        <v>2</v>
      </c>
      <c r="P7">
        <v>5</v>
      </c>
      <c r="Q7">
        <v>2</v>
      </c>
      <c r="R7">
        <v>4</v>
      </c>
      <c r="S7">
        <v>5</v>
      </c>
      <c r="T7">
        <v>5</v>
      </c>
      <c r="U7">
        <v>3</v>
      </c>
      <c r="V7">
        <v>3</v>
      </c>
      <c r="W7">
        <v>1</v>
      </c>
      <c r="X7">
        <v>2</v>
      </c>
      <c r="Y7">
        <v>4</v>
      </c>
      <c r="Z7">
        <v>5</v>
      </c>
    </row>
    <row r="8" spans="11:26" x14ac:dyDescent="0.35">
      <c r="K8" t="s">
        <v>3</v>
      </c>
      <c r="L8">
        <v>4</v>
      </c>
      <c r="M8">
        <v>4</v>
      </c>
      <c r="N8">
        <v>4</v>
      </c>
      <c r="O8">
        <v>4</v>
      </c>
      <c r="P8">
        <v>5</v>
      </c>
      <c r="Q8">
        <v>5</v>
      </c>
      <c r="R8">
        <v>5</v>
      </c>
      <c r="S8">
        <v>5</v>
      </c>
      <c r="T8">
        <v>1</v>
      </c>
      <c r="U8">
        <v>4</v>
      </c>
      <c r="V8">
        <v>4</v>
      </c>
      <c r="W8">
        <v>3</v>
      </c>
      <c r="X8">
        <v>5</v>
      </c>
      <c r="Y8">
        <v>4</v>
      </c>
      <c r="Z8">
        <v>5</v>
      </c>
    </row>
    <row r="9" spans="11:26" x14ac:dyDescent="0.35">
      <c r="K9" t="s">
        <v>4</v>
      </c>
      <c r="L9">
        <v>2</v>
      </c>
      <c r="M9">
        <v>3</v>
      </c>
      <c r="N9">
        <v>1</v>
      </c>
      <c r="O9">
        <v>5</v>
      </c>
      <c r="P9">
        <v>1</v>
      </c>
      <c r="Q9">
        <v>3</v>
      </c>
      <c r="R9">
        <v>2</v>
      </c>
      <c r="S9">
        <v>4</v>
      </c>
      <c r="T9">
        <v>1</v>
      </c>
      <c r="U9">
        <v>4</v>
      </c>
      <c r="V9">
        <v>1</v>
      </c>
      <c r="W9">
        <v>4</v>
      </c>
      <c r="X9">
        <v>4</v>
      </c>
      <c r="Y9">
        <v>2</v>
      </c>
      <c r="Z9">
        <v>3</v>
      </c>
    </row>
    <row r="19" spans="3:41" ht="39.5" customHeight="1" x14ac:dyDescent="0.35">
      <c r="J19" s="4" t="s">
        <v>21</v>
      </c>
      <c r="L19" s="3">
        <v>0.20289169617816483</v>
      </c>
      <c r="M19" s="3">
        <v>0.2607514196255587</v>
      </c>
      <c r="N19" s="3">
        <v>0.14202677172463285</v>
      </c>
      <c r="O19" s="3">
        <v>0.86560169700198597</v>
      </c>
      <c r="P19" s="3">
        <v>0.17343049269178801</v>
      </c>
      <c r="Q19" s="3">
        <v>0.57794786937019849</v>
      </c>
      <c r="R19" s="3">
        <v>1.1741988966204775</v>
      </c>
      <c r="S19" s="3">
        <v>4.847334518944324E-2</v>
      </c>
      <c r="T19" s="3">
        <v>0.353398465312315</v>
      </c>
      <c r="U19" s="3">
        <v>1.0406656675737795</v>
      </c>
      <c r="V19" s="3">
        <v>0.61509227167756753</v>
      </c>
      <c r="W19" s="3">
        <v>1.1858395973541094</v>
      </c>
      <c r="X19" s="3">
        <v>0.94045194019643286</v>
      </c>
      <c r="Y19" s="3">
        <v>0.3795261567349506</v>
      </c>
      <c r="Z19" s="3">
        <v>0.95355230124867196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35">
      <c r="L20" s="3">
        <v>0.40488672454919916</v>
      </c>
      <c r="M20" s="3">
        <v>0.17793434245782436</v>
      </c>
      <c r="N20" s="3">
        <v>0.83656691833611108</v>
      </c>
      <c r="O20" s="3">
        <v>0.32039357808257907</v>
      </c>
      <c r="P20" s="3">
        <v>1.2869282105057556E-2</v>
      </c>
      <c r="Q20" s="3">
        <v>0.13917244936511541</v>
      </c>
      <c r="R20" s="3">
        <v>0.89955458000820498</v>
      </c>
      <c r="S20" s="3">
        <v>1.0473335802196289</v>
      </c>
      <c r="T20" s="3">
        <v>0.48678392440007867</v>
      </c>
      <c r="U20" s="3">
        <v>1.0455172114944051</v>
      </c>
      <c r="V20" s="3">
        <v>0.75909536591329352</v>
      </c>
      <c r="W20" s="3">
        <v>0.69494243353696072</v>
      </c>
      <c r="X20" s="3">
        <v>0.39683849804307147</v>
      </c>
      <c r="Y20" s="3">
        <v>1.6161344366425467E-2</v>
      </c>
      <c r="Z20" s="3">
        <v>0.32850649780998764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3:41" x14ac:dyDescent="0.35">
      <c r="L21" s="3">
        <v>0.69164371427205373</v>
      </c>
      <c r="M21" s="3">
        <v>0.57139672022541976</v>
      </c>
      <c r="N21" s="3">
        <v>0.64759879467159354</v>
      </c>
      <c r="O21" s="3">
        <v>0.50296644024340664</v>
      </c>
      <c r="P21" s="3">
        <v>0.14277389381587846</v>
      </c>
      <c r="Q21" s="3">
        <v>0.22549695632175593</v>
      </c>
      <c r="R21" s="3">
        <v>9.3269244589088363E-2</v>
      </c>
      <c r="S21" s="3">
        <v>0.51367802450400979</v>
      </c>
      <c r="T21" s="3">
        <v>1.0748020472262172</v>
      </c>
      <c r="U21" s="3">
        <v>0.81588926715268562</v>
      </c>
      <c r="V21" s="3">
        <v>0.76926262979042925</v>
      </c>
      <c r="W21" s="3">
        <v>0.76121949037823455</v>
      </c>
      <c r="X21" s="3">
        <v>0.26361561910646936</v>
      </c>
      <c r="Y21" s="3">
        <v>0.10957133994330825</v>
      </c>
      <c r="Z21" s="3">
        <v>0.67460574508093307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3:41" x14ac:dyDescent="0.35">
      <c r="L22" s="3">
        <v>0.1404341001875935</v>
      </c>
      <c r="M22" s="3">
        <v>0.62620826598286783</v>
      </c>
      <c r="N22" s="3">
        <v>0.62387250374966507</v>
      </c>
      <c r="O22" s="3">
        <v>0.21711638440015957</v>
      </c>
      <c r="P22" s="3">
        <v>0.54461978236098596</v>
      </c>
      <c r="Q22" s="3">
        <v>0.63240669597610788</v>
      </c>
      <c r="R22" s="3">
        <v>0.17905957665233352</v>
      </c>
      <c r="S22" s="3">
        <v>0.18649307521898062</v>
      </c>
      <c r="T22" s="3">
        <v>0.30408741241436221</v>
      </c>
      <c r="U22" s="3">
        <v>0.47474303908104942</v>
      </c>
      <c r="V22" s="3">
        <v>1.1255781542301577</v>
      </c>
      <c r="W22" s="3">
        <v>0.15148871173369383</v>
      </c>
      <c r="X22" s="3">
        <v>0.69490320751033674</v>
      </c>
      <c r="Y22" s="3">
        <v>0.22901485542470157</v>
      </c>
      <c r="Z22" s="3">
        <v>1.1434490401227593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3:41" x14ac:dyDescent="0.35">
      <c r="C23">
        <f>SQRT(1.5)</f>
        <v>1.2247448713915889</v>
      </c>
      <c r="L23" s="3">
        <v>0.50107800742898889</v>
      </c>
      <c r="M23" s="3">
        <v>5.248908806554442E-2</v>
      </c>
      <c r="N23" s="3">
        <v>0.33190907424229388</v>
      </c>
      <c r="O23" s="3">
        <v>0.43545839210703874</v>
      </c>
      <c r="P23" s="3">
        <v>0.58221094396844153</v>
      </c>
      <c r="Q23" s="3">
        <v>0.25257613299266168</v>
      </c>
      <c r="R23" s="3">
        <v>7.2953855984636329E-2</v>
      </c>
      <c r="S23" s="3">
        <v>0.66008121282506971</v>
      </c>
      <c r="T23" s="3">
        <v>1.1764114606326668</v>
      </c>
      <c r="U23" s="3">
        <v>1.1214834955179271</v>
      </c>
      <c r="V23" s="3">
        <v>1.0876623759119037</v>
      </c>
      <c r="W23" s="3">
        <v>0.25525003740835128</v>
      </c>
      <c r="X23" s="3">
        <v>1.2014629072417566</v>
      </c>
      <c r="Y23" s="3">
        <v>0.38782768472161933</v>
      </c>
      <c r="Z23" s="3">
        <v>0.27364513329549967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3:41" x14ac:dyDescent="0.35">
      <c r="L24" s="3">
        <v>0.43807011868331847</v>
      </c>
      <c r="M24" s="3">
        <v>0.61747930162850029</v>
      </c>
      <c r="N24" s="3">
        <v>0.11381388891767208</v>
      </c>
      <c r="O24" s="3">
        <v>0.13534326044566125</v>
      </c>
      <c r="P24" s="3">
        <v>0.62270507761084515</v>
      </c>
      <c r="Q24" s="3">
        <v>7.6635257022322101E-2</v>
      </c>
      <c r="R24" s="3">
        <v>0.75966646443447994</v>
      </c>
      <c r="S24" s="3">
        <v>0.20459231902104436</v>
      </c>
      <c r="T24" s="3">
        <v>1.1284529096533018</v>
      </c>
      <c r="U24" s="3">
        <v>1.0454130460550581</v>
      </c>
      <c r="V24" s="3">
        <v>0.99747322001279692</v>
      </c>
      <c r="W24" s="3">
        <v>0.34643325765016098</v>
      </c>
      <c r="X24" s="3">
        <v>0.31578925325928187</v>
      </c>
      <c r="Y24" s="3">
        <v>0.15271851942164627</v>
      </c>
      <c r="Z24" s="3">
        <v>1.1718280840952875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3:41" x14ac:dyDescent="0.35">
      <c r="L25" s="3">
        <v>0.66584614136543352</v>
      </c>
      <c r="M25" s="3">
        <v>0.29147634027732239</v>
      </c>
      <c r="N25" s="3">
        <v>0.62949612293033552</v>
      </c>
      <c r="O25" s="3">
        <v>0.90100883793142761</v>
      </c>
      <c r="P25" s="3">
        <v>0.74609736690919637</v>
      </c>
      <c r="Q25" s="3">
        <v>0.38929173697550556</v>
      </c>
      <c r="R25" s="3">
        <v>0.1448948509509016</v>
      </c>
      <c r="S25" s="3">
        <v>0.50025989084240963</v>
      </c>
      <c r="T25" s="3">
        <v>0.68068711874470633</v>
      </c>
      <c r="U25" s="3">
        <v>1.1400115286895105</v>
      </c>
      <c r="V25" s="3">
        <v>1.2072472477905225</v>
      </c>
      <c r="W25" s="3">
        <v>0.69183433929033766</v>
      </c>
      <c r="X25" s="3">
        <v>1.1820919336234035</v>
      </c>
      <c r="Y25" s="3">
        <v>0.64355546742660885</v>
      </c>
      <c r="Z25" s="3">
        <v>0.88635518849765726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3:41" x14ac:dyDescent="0.35">
      <c r="L26" s="3">
        <v>0.1054839688994893</v>
      </c>
      <c r="M26" s="3">
        <v>1.1864645184893552</v>
      </c>
      <c r="N26" s="3">
        <v>0.11333262260200927</v>
      </c>
      <c r="O26" s="3">
        <v>0.75780429542957295</v>
      </c>
      <c r="P26" s="3">
        <v>0.9022732233730455</v>
      </c>
      <c r="Q26" s="3">
        <v>0.34245287701934646</v>
      </c>
      <c r="R26" s="3">
        <v>0.52696356266999</v>
      </c>
      <c r="S26" s="3">
        <v>0.20316010540987661</v>
      </c>
      <c r="T26" s="3">
        <v>0.22027139911313198</v>
      </c>
      <c r="U26" s="3">
        <v>0.9316142591246046</v>
      </c>
      <c r="V26" s="3">
        <v>1.1496559093087857</v>
      </c>
      <c r="W26" s="3">
        <v>0.17870590993855595</v>
      </c>
      <c r="X26" s="3">
        <v>1.0964377719206335</v>
      </c>
      <c r="Y26" s="3">
        <v>1.1227806438725261</v>
      </c>
      <c r="Z26" s="3">
        <v>0.24043548824330463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3:41" x14ac:dyDescent="0.35">
      <c r="C27" t="s">
        <v>20</v>
      </c>
      <c r="L27" s="1" t="s">
        <v>5</v>
      </c>
      <c r="M27" s="1" t="s">
        <v>6</v>
      </c>
      <c r="N27" s="1" t="s">
        <v>7</v>
      </c>
      <c r="O27" s="1" t="s">
        <v>8</v>
      </c>
      <c r="P27" s="1" t="s">
        <v>9</v>
      </c>
      <c r="Q27" s="1" t="s">
        <v>10</v>
      </c>
      <c r="R27" s="1" t="s">
        <v>11</v>
      </c>
      <c r="S27" s="1" t="s">
        <v>12</v>
      </c>
      <c r="T27" s="1" t="s">
        <v>13</v>
      </c>
      <c r="U27" s="1" t="s">
        <v>14</v>
      </c>
      <c r="V27" s="1" t="s">
        <v>15</v>
      </c>
      <c r="W27" s="1" t="s">
        <v>16</v>
      </c>
      <c r="X27" s="1" t="s">
        <v>17</v>
      </c>
      <c r="Y27" s="1" t="s">
        <v>18</v>
      </c>
      <c r="Z27" s="1" t="s">
        <v>19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3:41" x14ac:dyDescent="0.35">
      <c r="C28" s="2">
        <v>0.4820411611076072</v>
      </c>
      <c r="D28" s="2">
        <v>0.442494518688056</v>
      </c>
      <c r="E28" s="2">
        <v>0.9318833788248011</v>
      </c>
      <c r="F28" s="2">
        <v>0.85783892187328936</v>
      </c>
      <c r="G28" s="2">
        <v>0.23780985417614797</v>
      </c>
      <c r="H28" s="2">
        <v>0.67340974657641084</v>
      </c>
      <c r="I28" s="2">
        <v>0.72214405645681645</v>
      </c>
      <c r="J28" s="2">
        <v>0.81722383274060406</v>
      </c>
      <c r="K28" s="1" t="s">
        <v>0</v>
      </c>
      <c r="L28" cm="1">
        <f t="array" ref="L28:Z32">MMULT(C28:J32,L19:Z26)</f>
        <v>2.023166245946622</v>
      </c>
      <c r="M28">
        <v>2.8824828086968637</v>
      </c>
      <c r="N28">
        <v>2.2800873293267658</v>
      </c>
      <c r="O28">
        <v>2.6786366754381001</v>
      </c>
      <c r="P28">
        <v>2.5234800173944323</v>
      </c>
      <c r="Q28">
        <v>1.7654750409817415</v>
      </c>
      <c r="R28">
        <v>2.2687785883631326</v>
      </c>
      <c r="S28">
        <v>1.9475098132969553</v>
      </c>
      <c r="T28">
        <v>3.359438626194867</v>
      </c>
      <c r="U28">
        <v>4.6871271119903275</v>
      </c>
      <c r="V28">
        <v>5.0565207928856424</v>
      </c>
      <c r="W28">
        <v>2.6580917091493652</v>
      </c>
      <c r="X28">
        <v>3.7187604597478714</v>
      </c>
      <c r="Y28">
        <v>2.0660383442444807</v>
      </c>
      <c r="Z28">
        <v>3.9053244609007081</v>
      </c>
    </row>
    <row r="29" spans="3:41" x14ac:dyDescent="0.35">
      <c r="C29" s="2">
        <v>0.59626649690014988</v>
      </c>
      <c r="D29" s="2">
        <v>0.73783406198659551</v>
      </c>
      <c r="E29" s="2">
        <v>0.28815845654299643</v>
      </c>
      <c r="F29" s="2">
        <v>0.57865872608337332</v>
      </c>
      <c r="G29" s="2">
        <v>1.1519114156674479</v>
      </c>
      <c r="H29" s="2">
        <v>0.68762108949255629</v>
      </c>
      <c r="I29" s="2">
        <v>0.10259895212823267</v>
      </c>
      <c r="J29" s="2">
        <v>0.76658147305967894</v>
      </c>
      <c r="K29" s="1" t="s">
        <v>1</v>
      </c>
      <c r="L29">
        <v>1.7278840420707648</v>
      </c>
      <c r="M29">
        <v>2.23825848389966</v>
      </c>
      <c r="N29">
        <v>1.8616087237533923</v>
      </c>
      <c r="O29">
        <v>2.2911325790863826</v>
      </c>
      <c r="P29">
        <v>2.3362520026500708</v>
      </c>
      <c r="Q29">
        <v>1.5243239380924107</v>
      </c>
      <c r="R29">
        <v>2.519573806028137</v>
      </c>
      <c r="S29">
        <v>2.1656999246004198</v>
      </c>
      <c r="T29">
        <v>3.4253251277922807</v>
      </c>
      <c r="U29">
        <v>4.7435717952352263</v>
      </c>
      <c r="V29">
        <v>4.7437820368237018</v>
      </c>
      <c r="W29">
        <v>2.2670550835136809</v>
      </c>
      <c r="X29">
        <v>3.8945482843343404</v>
      </c>
      <c r="Y29">
        <v>1.8808050435631802</v>
      </c>
      <c r="Z29">
        <v>3.063255850196168</v>
      </c>
    </row>
    <row r="30" spans="3:41" x14ac:dyDescent="0.35">
      <c r="C30" s="2">
        <v>0.25477789616636914</v>
      </c>
      <c r="D30" s="2">
        <v>0.60608842106878802</v>
      </c>
      <c r="E30" s="2">
        <v>1.0893141172021108</v>
      </c>
      <c r="F30" s="2">
        <v>0.76631549914136876</v>
      </c>
      <c r="G30" s="2">
        <v>0.59454079475366717</v>
      </c>
      <c r="H30" s="2">
        <v>0.99959954019451502</v>
      </c>
      <c r="I30" s="2">
        <v>0.70494624671309558</v>
      </c>
      <c r="J30" s="2">
        <v>0.92864993639522342</v>
      </c>
      <c r="K30" s="1" t="s">
        <v>2</v>
      </c>
      <c r="L30">
        <v>2.4612729899404151</v>
      </c>
      <c r="M30">
        <v>3.2323055384027763</v>
      </c>
      <c r="N30">
        <v>2.5868495409492236</v>
      </c>
      <c r="O30">
        <v>2.8620756602014374</v>
      </c>
      <c r="P30">
        <v>2.9573207539737516</v>
      </c>
      <c r="Q30">
        <v>1.7810791969857729</v>
      </c>
      <c r="R30">
        <v>2.4774292256835801</v>
      </c>
      <c r="S30">
        <v>2.4878724989798355</v>
      </c>
      <c r="T30">
        <v>4.3007246228137745</v>
      </c>
      <c r="U30">
        <v>5.5319295907709023</v>
      </c>
      <c r="V30">
        <v>5.8797131829615639</v>
      </c>
      <c r="W30">
        <v>2.8203299028703692</v>
      </c>
      <c r="X30">
        <v>4.1813005423209084</v>
      </c>
      <c r="Y30">
        <v>2.2809242466560198</v>
      </c>
      <c r="Z30">
        <v>4.2353134906809782</v>
      </c>
    </row>
    <row r="31" spans="3:41" x14ac:dyDescent="0.35">
      <c r="C31" s="2">
        <v>3.300282634349827E-2</v>
      </c>
      <c r="D31" s="2">
        <v>1.0589648986931675</v>
      </c>
      <c r="E31" s="2">
        <v>0.86785989824703713</v>
      </c>
      <c r="F31" s="2">
        <v>0.51841613627193528</v>
      </c>
      <c r="G31" s="2">
        <v>0.12406410251364819</v>
      </c>
      <c r="H31" s="2">
        <v>4.5033982681542017E-2</v>
      </c>
      <c r="I31" s="2">
        <v>0.71887627895855433</v>
      </c>
      <c r="J31" s="2">
        <v>0.14106068643842296</v>
      </c>
      <c r="K31" s="1" t="s">
        <v>3</v>
      </c>
      <c r="L31">
        <v>1.6839444487153783</v>
      </c>
      <c r="M31">
        <v>1.4287790160758391</v>
      </c>
      <c r="N31">
        <v>2.2908529859035496</v>
      </c>
      <c r="O31">
        <v>1.7316439716843004</v>
      </c>
      <c r="P31">
        <v>1.1895005817482089</v>
      </c>
      <c r="Q31">
        <v>1.0529483086651457</v>
      </c>
      <c r="R31">
        <v>1.3868776922153505</v>
      </c>
      <c r="S31">
        <v>2.1325596966169478</v>
      </c>
      <c r="T31">
        <v>2.3347422728030778</v>
      </c>
      <c r="U31">
        <v>3.2328593136435972</v>
      </c>
      <c r="V31">
        <v>3.2851779053239154</v>
      </c>
      <c r="W31">
        <v>2.0840420740641763</v>
      </c>
      <c r="X31">
        <v>2.2080278526659294</v>
      </c>
      <c r="Y31">
        <v>0.91946728554064228</v>
      </c>
      <c r="Z31">
        <v>2.3154098161410399</v>
      </c>
    </row>
    <row r="32" spans="3:41" x14ac:dyDescent="0.35">
      <c r="C32" s="2">
        <v>0.20366358445713817</v>
      </c>
      <c r="D32" s="2">
        <v>0.19495528904907578</v>
      </c>
      <c r="E32" s="2">
        <v>1.0719753534737486</v>
      </c>
      <c r="F32" s="2">
        <v>0.76204033661522574</v>
      </c>
      <c r="G32" s="2">
        <v>1.1282282902422309</v>
      </c>
      <c r="H32" s="2">
        <v>0.78019498516643826</v>
      </c>
      <c r="I32" s="2">
        <v>1.2096696777358895</v>
      </c>
      <c r="J32" s="2">
        <v>1.1128932380539915</v>
      </c>
      <c r="K32" s="1" t="s">
        <v>4</v>
      </c>
      <c r="L32">
        <v>2.7986546988868795</v>
      </c>
      <c r="M32">
        <v>3.3914863279649445</v>
      </c>
      <c r="N32">
        <v>2.712520500611014</v>
      </c>
      <c r="O32">
        <v>3.4735419942103745</v>
      </c>
      <c r="P32">
        <v>3.6552661151973727</v>
      </c>
      <c r="Q32">
        <v>2.0652678138360012</v>
      </c>
      <c r="R32">
        <v>2.0876730942218678</v>
      </c>
      <c r="S32">
        <v>2.6424098317630493</v>
      </c>
      <c r="T32">
        <v>4.8269827876188627</v>
      </c>
      <c r="U32">
        <v>6.1489013517330173</v>
      </c>
      <c r="V32">
        <v>6.7007978318877672</v>
      </c>
      <c r="W32">
        <v>2.9024815117731664</v>
      </c>
      <c r="X32">
        <v>5.3330958819879477</v>
      </c>
      <c r="Y32">
        <v>2.957155640329951</v>
      </c>
      <c r="Z32">
        <v>4.4155275821938682</v>
      </c>
    </row>
    <row r="33" spans="3:26" x14ac:dyDescent="0.35">
      <c r="C33" s="2"/>
      <c r="D33" s="2"/>
      <c r="E33" s="2"/>
      <c r="F33" s="2"/>
      <c r="G33" s="2"/>
      <c r="H33" s="2"/>
      <c r="I33" s="2"/>
      <c r="J33" s="2"/>
      <c r="K33" s="1"/>
    </row>
    <row r="34" spans="3:26" x14ac:dyDescent="0.35">
      <c r="C34" s="2"/>
      <c r="D34" s="2"/>
      <c r="E34" s="2"/>
      <c r="F34" s="2"/>
      <c r="G34" s="2"/>
      <c r="H34" s="2"/>
      <c r="I34" s="2"/>
      <c r="J34" s="2"/>
      <c r="K34" s="1"/>
    </row>
    <row r="35" spans="3:26" x14ac:dyDescent="0.35">
      <c r="C35" s="2"/>
      <c r="D35" s="2"/>
      <c r="E35" s="2"/>
      <c r="F35" s="2"/>
      <c r="G35" s="2"/>
      <c r="H35" s="2"/>
      <c r="I35" s="2"/>
      <c r="J35" s="2"/>
      <c r="K35" s="1"/>
    </row>
    <row r="36" spans="3:26" x14ac:dyDescent="0.35">
      <c r="C36" s="2"/>
      <c r="D36" s="2"/>
      <c r="E36" s="2"/>
      <c r="F36" s="2"/>
      <c r="G36" s="2"/>
      <c r="H36" s="2"/>
      <c r="I36" s="2"/>
      <c r="J36" s="2"/>
      <c r="K36" s="1"/>
    </row>
    <row r="37" spans="3:26" x14ac:dyDescent="0.35">
      <c r="C37" s="2"/>
      <c r="D37" s="2"/>
      <c r="E37" s="2"/>
      <c r="F37" s="2"/>
      <c r="G37" s="2"/>
      <c r="H37" s="2"/>
      <c r="I37" s="2"/>
      <c r="J37" s="2"/>
      <c r="K37" s="1"/>
    </row>
    <row r="39" spans="3:26" x14ac:dyDescent="0.35">
      <c r="Y39" t="s">
        <v>22</v>
      </c>
      <c r="Z39" s="5" cm="1">
        <f t="array" ref="Z39">SUM(($L$5:$Z$9-_xlfn.ANCHORARRAY($L$28))^2)</f>
        <v>286.81038811664473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0320-6864-4B2F-9FB2-C235752257ED}">
  <dimension ref="C4:AO41"/>
  <sheetViews>
    <sheetView tabSelected="1" zoomScale="85" zoomScaleNormal="85" workbookViewId="0">
      <selection activeCell="T40" sqref="T40"/>
    </sheetView>
  </sheetViews>
  <sheetFormatPr defaultRowHeight="14.5" x14ac:dyDescent="0.35"/>
  <cols>
    <col min="3" max="3" width="5.81640625" customWidth="1"/>
    <col min="11" max="11" width="4.36328125" bestFit="1" customWidth="1"/>
    <col min="12" max="12" width="6.1796875" customWidth="1"/>
    <col min="13" max="14" width="6" bestFit="1" customWidth="1"/>
    <col min="15" max="15" width="5.81640625" bestFit="1" customWidth="1"/>
    <col min="16" max="17" width="6" bestFit="1" customWidth="1"/>
    <col min="18" max="20" width="5.81640625" bestFit="1" customWidth="1"/>
    <col min="21" max="24" width="6" bestFit="1" customWidth="1"/>
    <col min="25" max="25" width="5.81640625" bestFit="1" customWidth="1"/>
    <col min="26" max="26" width="5.81640625" customWidth="1"/>
    <col min="27" max="27" width="6" bestFit="1" customWidth="1"/>
    <col min="28" max="28" width="16.453125" bestFit="1" customWidth="1"/>
    <col min="29" max="29" width="6" bestFit="1" customWidth="1"/>
    <col min="30" max="30" width="5.81640625" bestFit="1" customWidth="1"/>
    <col min="31" max="31" width="6" bestFit="1" customWidth="1"/>
    <col min="32" max="32" width="5.81640625" bestFit="1" customWidth="1"/>
    <col min="33" max="33" width="6" bestFit="1" customWidth="1"/>
    <col min="34" max="34" width="5.81640625" bestFit="1" customWidth="1"/>
    <col min="35" max="35" width="6" bestFit="1" customWidth="1"/>
    <col min="36" max="37" width="5.81640625" bestFit="1" customWidth="1"/>
    <col min="38" max="40" width="6" bestFit="1" customWidth="1"/>
    <col min="41" max="41" width="5.81640625" bestFit="1" customWidth="1"/>
  </cols>
  <sheetData>
    <row r="4" spans="11:26" x14ac:dyDescent="0.35">
      <c r="L4" t="s">
        <v>5</v>
      </c>
      <c r="M4" t="s">
        <v>6</v>
      </c>
      <c r="N4" t="s">
        <v>7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19</v>
      </c>
    </row>
    <row r="5" spans="11:26" x14ac:dyDescent="0.35">
      <c r="K5" t="s">
        <v>0</v>
      </c>
      <c r="L5">
        <v>1</v>
      </c>
      <c r="M5">
        <v>2</v>
      </c>
      <c r="N5">
        <v>5</v>
      </c>
      <c r="O5">
        <v>4</v>
      </c>
      <c r="P5">
        <v>1</v>
      </c>
      <c r="Q5">
        <v>4</v>
      </c>
      <c r="R5">
        <v>2</v>
      </c>
      <c r="S5">
        <v>2</v>
      </c>
      <c r="T5">
        <v>5</v>
      </c>
      <c r="U5">
        <v>3</v>
      </c>
      <c r="V5">
        <v>3</v>
      </c>
      <c r="W5">
        <v>3</v>
      </c>
      <c r="X5">
        <v>4</v>
      </c>
      <c r="Y5">
        <v>2</v>
      </c>
      <c r="Z5">
        <v>3</v>
      </c>
    </row>
    <row r="6" spans="11:26" x14ac:dyDescent="0.35">
      <c r="K6" t="s">
        <v>1</v>
      </c>
      <c r="L6">
        <v>1</v>
      </c>
      <c r="M6">
        <v>5</v>
      </c>
      <c r="N6">
        <v>3</v>
      </c>
      <c r="O6">
        <v>1</v>
      </c>
      <c r="P6">
        <v>3</v>
      </c>
      <c r="Q6">
        <v>4</v>
      </c>
      <c r="R6">
        <v>2</v>
      </c>
      <c r="S6">
        <v>5</v>
      </c>
      <c r="T6">
        <v>3</v>
      </c>
      <c r="U6">
        <v>4</v>
      </c>
      <c r="V6">
        <v>2</v>
      </c>
      <c r="W6">
        <v>4</v>
      </c>
      <c r="X6">
        <v>2</v>
      </c>
      <c r="Y6">
        <v>2</v>
      </c>
      <c r="Z6">
        <v>2</v>
      </c>
    </row>
    <row r="7" spans="11:26" x14ac:dyDescent="0.35">
      <c r="K7" t="s">
        <v>2</v>
      </c>
      <c r="L7">
        <v>3</v>
      </c>
      <c r="M7">
        <v>2</v>
      </c>
      <c r="N7">
        <v>2</v>
      </c>
      <c r="O7">
        <v>2</v>
      </c>
      <c r="P7">
        <v>5</v>
      </c>
      <c r="Q7">
        <v>2</v>
      </c>
      <c r="R7">
        <v>4</v>
      </c>
      <c r="S7">
        <v>5</v>
      </c>
      <c r="T7">
        <v>5</v>
      </c>
      <c r="U7">
        <v>3</v>
      </c>
      <c r="V7">
        <v>3</v>
      </c>
      <c r="W7">
        <v>1</v>
      </c>
      <c r="X7">
        <v>2</v>
      </c>
      <c r="Y7">
        <v>4</v>
      </c>
      <c r="Z7">
        <v>5</v>
      </c>
    </row>
    <row r="8" spans="11:26" x14ac:dyDescent="0.35">
      <c r="K8" t="s">
        <v>3</v>
      </c>
      <c r="L8">
        <v>4</v>
      </c>
      <c r="M8">
        <v>4</v>
      </c>
      <c r="N8">
        <v>4</v>
      </c>
      <c r="O8">
        <v>4</v>
      </c>
      <c r="P8">
        <v>5</v>
      </c>
      <c r="Q8">
        <v>5</v>
      </c>
      <c r="R8">
        <v>5</v>
      </c>
      <c r="S8">
        <v>5</v>
      </c>
      <c r="T8">
        <v>1</v>
      </c>
      <c r="U8">
        <v>4</v>
      </c>
      <c r="V8">
        <v>4</v>
      </c>
      <c r="W8">
        <v>3</v>
      </c>
      <c r="X8">
        <v>5</v>
      </c>
      <c r="Y8">
        <v>4</v>
      </c>
      <c r="Z8">
        <v>5</v>
      </c>
    </row>
    <row r="9" spans="11:26" x14ac:dyDescent="0.35">
      <c r="K9" t="s">
        <v>4</v>
      </c>
      <c r="L9">
        <v>2</v>
      </c>
      <c r="M9">
        <v>3</v>
      </c>
      <c r="N9">
        <v>1</v>
      </c>
      <c r="O9">
        <v>5</v>
      </c>
      <c r="P9">
        <v>1</v>
      </c>
      <c r="Q9">
        <v>3</v>
      </c>
      <c r="R9">
        <v>2</v>
      </c>
      <c r="S9">
        <v>4</v>
      </c>
      <c r="T9">
        <v>1</v>
      </c>
      <c r="U9">
        <v>4</v>
      </c>
      <c r="V9">
        <v>1</v>
      </c>
      <c r="W9">
        <v>4</v>
      </c>
      <c r="X9">
        <v>4</v>
      </c>
      <c r="Y9">
        <v>2</v>
      </c>
      <c r="Z9">
        <v>3</v>
      </c>
    </row>
    <row r="19" spans="3:41" ht="39.5" customHeight="1" x14ac:dyDescent="0.35">
      <c r="J19" s="4" t="s">
        <v>21</v>
      </c>
      <c r="L19" s="3">
        <v>0.20289169617816483</v>
      </c>
      <c r="M19" s="3">
        <v>0.2607514196255587</v>
      </c>
      <c r="N19" s="3">
        <v>0.14202677172463285</v>
      </c>
      <c r="O19" s="3">
        <v>0.86560169700198597</v>
      </c>
      <c r="P19" s="3">
        <v>0.17343049269178801</v>
      </c>
      <c r="Q19" s="3">
        <v>0.57794786937019849</v>
      </c>
      <c r="R19" s="3">
        <v>1.1741988966204775</v>
      </c>
      <c r="S19" s="3">
        <v>4.847334518944324E-2</v>
      </c>
      <c r="T19" s="3">
        <v>0.353398465312315</v>
      </c>
      <c r="U19" s="3">
        <v>1.0406656675737795</v>
      </c>
      <c r="V19" s="3">
        <v>0.61509227167756753</v>
      </c>
      <c r="W19" s="3">
        <v>1.1858395973541094</v>
      </c>
      <c r="X19" s="3">
        <v>0.94045194019643286</v>
      </c>
      <c r="Y19" s="3">
        <v>0.3795261567349506</v>
      </c>
      <c r="Z19" s="3">
        <v>0.95355230124867196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35">
      <c r="L20" s="3">
        <v>0.40488672454919916</v>
      </c>
      <c r="M20" s="3">
        <v>0.17793434245782436</v>
      </c>
      <c r="N20" s="3">
        <v>0.83656691833611108</v>
      </c>
      <c r="O20" s="3">
        <v>0.32039357808257907</v>
      </c>
      <c r="P20" s="3">
        <v>1.2869282105057556E-2</v>
      </c>
      <c r="Q20" s="3">
        <v>0.13917244936511541</v>
      </c>
      <c r="R20" s="3">
        <v>0.89955458000820498</v>
      </c>
      <c r="S20" s="3">
        <v>1.0473335802196289</v>
      </c>
      <c r="T20" s="3">
        <v>0.48678392440007867</v>
      </c>
      <c r="U20" s="3">
        <v>1.0455172114944051</v>
      </c>
      <c r="V20" s="3">
        <v>0.75909536591329352</v>
      </c>
      <c r="W20" s="3">
        <v>0.69494243353696072</v>
      </c>
      <c r="X20" s="3">
        <v>0.39683849804307147</v>
      </c>
      <c r="Y20" s="3">
        <v>1.6161344366425467E-2</v>
      </c>
      <c r="Z20" s="3">
        <v>0.32850649780998764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3:41" x14ac:dyDescent="0.35">
      <c r="L21" s="3">
        <v>0.69164371427205373</v>
      </c>
      <c r="M21" s="3">
        <v>0.57139672022541976</v>
      </c>
      <c r="N21" s="3">
        <v>0.64759879467159354</v>
      </c>
      <c r="O21" s="3">
        <v>0.50296644024340664</v>
      </c>
      <c r="P21" s="3">
        <v>0.14277389381587846</v>
      </c>
      <c r="Q21" s="3">
        <v>0.22549695632175593</v>
      </c>
      <c r="R21" s="3">
        <v>9.3269244589088363E-2</v>
      </c>
      <c r="S21" s="3">
        <v>0.51367802450400979</v>
      </c>
      <c r="T21" s="3">
        <v>1.0748020472262172</v>
      </c>
      <c r="U21" s="3">
        <v>0.81588926715268562</v>
      </c>
      <c r="V21" s="3">
        <v>0.76926262979042925</v>
      </c>
      <c r="W21" s="3">
        <v>0.76121949037823455</v>
      </c>
      <c r="X21" s="3">
        <v>0.26361561910646936</v>
      </c>
      <c r="Y21" s="3">
        <v>0.10957133994330825</v>
      </c>
      <c r="Z21" s="3">
        <v>0.67460574508093307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3:41" x14ac:dyDescent="0.35">
      <c r="L22" s="3">
        <v>0.1404341001875935</v>
      </c>
      <c r="M22" s="3">
        <v>0.62620826598286783</v>
      </c>
      <c r="N22" s="3">
        <v>0.62387250374966507</v>
      </c>
      <c r="O22" s="3">
        <v>0.21711638440015957</v>
      </c>
      <c r="P22" s="3">
        <v>0.54461978236098596</v>
      </c>
      <c r="Q22" s="3">
        <v>0.63240669597610788</v>
      </c>
      <c r="R22" s="3">
        <v>0.17905957665233352</v>
      </c>
      <c r="S22" s="3">
        <v>0.18649307521898062</v>
      </c>
      <c r="T22" s="3">
        <v>0.30408741241436221</v>
      </c>
      <c r="U22" s="3">
        <v>0.47474303908104942</v>
      </c>
      <c r="V22" s="3">
        <v>1.1255781542301577</v>
      </c>
      <c r="W22" s="3">
        <v>0.15148871173369383</v>
      </c>
      <c r="X22" s="3">
        <v>0.69490320751033674</v>
      </c>
      <c r="Y22" s="3">
        <v>0.22901485542470157</v>
      </c>
      <c r="Z22" s="3">
        <v>1.1434490401227593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3:41" x14ac:dyDescent="0.35">
      <c r="C23">
        <f>SQRT(1.5)</f>
        <v>1.2247448713915889</v>
      </c>
      <c r="L23" s="3">
        <v>0.50107800742898889</v>
      </c>
      <c r="M23" s="3">
        <v>5.248908806554442E-2</v>
      </c>
      <c r="N23" s="3">
        <v>0.33190907424229388</v>
      </c>
      <c r="O23" s="3">
        <v>0.43545839210703874</v>
      </c>
      <c r="P23" s="3">
        <v>0.58221094396844153</v>
      </c>
      <c r="Q23" s="3">
        <v>0.25257613299266168</v>
      </c>
      <c r="R23" s="3">
        <v>7.2953855984636329E-2</v>
      </c>
      <c r="S23" s="3">
        <v>0.66008121282506971</v>
      </c>
      <c r="T23" s="3">
        <v>1.1764114606326668</v>
      </c>
      <c r="U23" s="3">
        <v>1.1214834955179271</v>
      </c>
      <c r="V23" s="3">
        <v>1.0876623759119037</v>
      </c>
      <c r="W23" s="3">
        <v>0.25525003740835128</v>
      </c>
      <c r="X23" s="3">
        <v>1.2014629072417566</v>
      </c>
      <c r="Y23" s="3">
        <v>0.38782768472161933</v>
      </c>
      <c r="Z23" s="3">
        <v>0.27364513329549967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3:41" x14ac:dyDescent="0.35">
      <c r="L24" s="3">
        <v>0.43807011868331847</v>
      </c>
      <c r="M24" s="3">
        <v>0.61747930162850029</v>
      </c>
      <c r="N24" s="3">
        <v>0.11381388891767208</v>
      </c>
      <c r="O24" s="3">
        <v>0.13534326044566125</v>
      </c>
      <c r="P24" s="3">
        <v>0.62270507761084515</v>
      </c>
      <c r="Q24" s="3">
        <v>7.6635257022322101E-2</v>
      </c>
      <c r="R24" s="3">
        <v>0.75966646443447994</v>
      </c>
      <c r="S24" s="3">
        <v>0.20459231902104436</v>
      </c>
      <c r="T24" s="3">
        <v>1.1284529096533018</v>
      </c>
      <c r="U24" s="3">
        <v>1.0454130460550581</v>
      </c>
      <c r="V24" s="3">
        <v>0.99747322001279692</v>
      </c>
      <c r="W24" s="3">
        <v>0.34643325765016098</v>
      </c>
      <c r="X24" s="3">
        <v>0.31578925325928187</v>
      </c>
      <c r="Y24" s="3">
        <v>0.15271851942164627</v>
      </c>
      <c r="Z24" s="3">
        <v>1.1718280840952875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3:41" x14ac:dyDescent="0.35">
      <c r="L25" s="3">
        <v>0.66584614136543352</v>
      </c>
      <c r="M25" s="3">
        <v>0.29147634027732239</v>
      </c>
      <c r="N25" s="3">
        <v>0.62949612293033552</v>
      </c>
      <c r="O25" s="3">
        <v>0.90100883793142761</v>
      </c>
      <c r="P25" s="3">
        <v>0.74609736690919637</v>
      </c>
      <c r="Q25" s="3">
        <v>0.38929173697550556</v>
      </c>
      <c r="R25" s="3">
        <v>0.1448948509509016</v>
      </c>
      <c r="S25" s="3">
        <v>0.50025989084240963</v>
      </c>
      <c r="T25" s="3">
        <v>0.68068711874470633</v>
      </c>
      <c r="U25" s="3">
        <v>1.1400115286895105</v>
      </c>
      <c r="V25" s="3">
        <v>1.2072472477905225</v>
      </c>
      <c r="W25" s="3">
        <v>0.69183433929033766</v>
      </c>
      <c r="X25" s="3">
        <v>1.1820919336234035</v>
      </c>
      <c r="Y25" s="3">
        <v>0.64355546742660885</v>
      </c>
      <c r="Z25" s="3">
        <v>0.88635518849765726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3:41" x14ac:dyDescent="0.35">
      <c r="L26" s="3">
        <v>0.1054839688994893</v>
      </c>
      <c r="M26" s="3">
        <v>1.1864645184893552</v>
      </c>
      <c r="N26" s="3">
        <v>0.11333262260200927</v>
      </c>
      <c r="O26" s="3">
        <v>0.75780429542957295</v>
      </c>
      <c r="P26" s="3">
        <v>0.9022732233730455</v>
      </c>
      <c r="Q26" s="3">
        <v>0.34245287701934646</v>
      </c>
      <c r="R26" s="3">
        <v>0.52696356266999</v>
      </c>
      <c r="S26" s="3">
        <v>0.20316010540987661</v>
      </c>
      <c r="T26" s="3">
        <v>0.22027139911313198</v>
      </c>
      <c r="U26" s="3">
        <v>0.9316142591246046</v>
      </c>
      <c r="V26" s="3">
        <v>1.1496559093087857</v>
      </c>
      <c r="W26" s="3">
        <v>0.17870590993855595</v>
      </c>
      <c r="X26" s="3">
        <v>1.0964377719206335</v>
      </c>
      <c r="Y26" s="3">
        <v>1.1227806438725261</v>
      </c>
      <c r="Z26" s="3">
        <v>0.24043548824330463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3:41" x14ac:dyDescent="0.35">
      <c r="C27" t="s">
        <v>20</v>
      </c>
      <c r="L27" s="1" t="s">
        <v>5</v>
      </c>
      <c r="M27" s="1" t="s">
        <v>6</v>
      </c>
      <c r="N27" s="1" t="s">
        <v>7</v>
      </c>
      <c r="O27" s="1" t="s">
        <v>8</v>
      </c>
      <c r="P27" s="1" t="s">
        <v>9</v>
      </c>
      <c r="Q27" s="1" t="s">
        <v>10</v>
      </c>
      <c r="R27" s="1" t="s">
        <v>11</v>
      </c>
      <c r="S27" s="1" t="s">
        <v>12</v>
      </c>
      <c r="T27" s="1" t="s">
        <v>13</v>
      </c>
      <c r="U27" s="1" t="s">
        <v>14</v>
      </c>
      <c r="V27" s="1" t="s">
        <v>15</v>
      </c>
      <c r="W27" s="1" t="s">
        <v>16</v>
      </c>
      <c r="X27" s="1" t="s">
        <v>17</v>
      </c>
      <c r="Y27" s="1" t="s">
        <v>18</v>
      </c>
      <c r="Z27" s="1" t="s">
        <v>19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3:41" x14ac:dyDescent="0.35">
      <c r="C28" s="2">
        <v>0.4820411611076072</v>
      </c>
      <c r="D28" s="2">
        <v>0.442494518688056</v>
      </c>
      <c r="E28" s="2">
        <v>0.9318833788248011</v>
      </c>
      <c r="F28" s="2">
        <v>0.85783892187328936</v>
      </c>
      <c r="G28" s="2">
        <v>0.23780985417614797</v>
      </c>
      <c r="H28" s="2">
        <v>0.67340974657641084</v>
      </c>
      <c r="I28" s="2">
        <v>0.72214405645681645</v>
      </c>
      <c r="J28" s="2">
        <v>0.81722383274060406</v>
      </c>
      <c r="K28" s="1" t="s">
        <v>0</v>
      </c>
      <c r="L28" cm="1">
        <f t="array" ref="L28:Z32">MMULT(C28:J32,L19:Z26)</f>
        <v>2.023166245946622</v>
      </c>
      <c r="M28">
        <v>2.8824828086968637</v>
      </c>
      <c r="N28">
        <v>2.2800873293267658</v>
      </c>
      <c r="O28">
        <v>2.6786366754381001</v>
      </c>
      <c r="P28">
        <v>2.5234800173944323</v>
      </c>
      <c r="Q28">
        <v>1.7654750409817415</v>
      </c>
      <c r="R28">
        <v>2.2687785883631326</v>
      </c>
      <c r="S28">
        <v>1.9475098132969553</v>
      </c>
      <c r="T28">
        <v>3.359438626194867</v>
      </c>
      <c r="U28">
        <v>4.6871271119903275</v>
      </c>
      <c r="V28">
        <v>5.0565207928856424</v>
      </c>
      <c r="W28">
        <v>2.6580917091493652</v>
      </c>
      <c r="X28">
        <v>3.7187604597478714</v>
      </c>
      <c r="Y28">
        <v>2.0660383442444807</v>
      </c>
      <c r="Z28">
        <v>3.9053244609007081</v>
      </c>
    </row>
    <row r="29" spans="3:41" x14ac:dyDescent="0.35">
      <c r="C29" s="2">
        <v>0.59626649690014988</v>
      </c>
      <c r="D29" s="2">
        <v>0.73783406198659551</v>
      </c>
      <c r="E29" s="2">
        <v>0.28815845654299643</v>
      </c>
      <c r="F29" s="2">
        <v>0.57865872608337332</v>
      </c>
      <c r="G29" s="2">
        <v>1.1519114156674479</v>
      </c>
      <c r="H29" s="2">
        <v>0.68762108949255629</v>
      </c>
      <c r="I29" s="2">
        <v>0.10259895212823267</v>
      </c>
      <c r="J29" s="2">
        <v>0.76658147305967894</v>
      </c>
      <c r="K29" s="1" t="s">
        <v>1</v>
      </c>
      <c r="L29">
        <v>1.7278840420707648</v>
      </c>
      <c r="M29">
        <v>2.23825848389966</v>
      </c>
      <c r="N29">
        <v>1.8616087237533923</v>
      </c>
      <c r="O29">
        <v>2.2911325790863826</v>
      </c>
      <c r="P29">
        <v>2.3362520026500708</v>
      </c>
      <c r="Q29">
        <v>1.5243239380924107</v>
      </c>
      <c r="R29">
        <v>2.519573806028137</v>
      </c>
      <c r="S29">
        <v>2.1656999246004198</v>
      </c>
      <c r="T29">
        <v>3.4253251277922807</v>
      </c>
      <c r="U29">
        <v>4.7435717952352263</v>
      </c>
      <c r="V29">
        <v>4.7437820368237018</v>
      </c>
      <c r="W29">
        <v>2.2670550835136809</v>
      </c>
      <c r="X29">
        <v>3.8945482843343404</v>
      </c>
      <c r="Y29">
        <v>1.8808050435631802</v>
      </c>
      <c r="Z29">
        <v>3.063255850196168</v>
      </c>
    </row>
    <row r="30" spans="3:41" x14ac:dyDescent="0.35">
      <c r="C30" s="2">
        <v>0.25477789616636914</v>
      </c>
      <c r="D30" s="2">
        <v>0.60608842106878802</v>
      </c>
      <c r="E30" s="2">
        <v>1.0893141172021108</v>
      </c>
      <c r="F30" s="2">
        <v>0.76631549914136876</v>
      </c>
      <c r="G30" s="2">
        <v>0.59454079475366717</v>
      </c>
      <c r="H30" s="2">
        <v>0.99959954019451502</v>
      </c>
      <c r="I30" s="2">
        <v>0.70494624671309558</v>
      </c>
      <c r="J30" s="2">
        <v>0.92864993639522342</v>
      </c>
      <c r="K30" s="1" t="s">
        <v>2</v>
      </c>
      <c r="L30">
        <v>2.4612729899404151</v>
      </c>
      <c r="M30">
        <v>3.2323055384027763</v>
      </c>
      <c r="N30">
        <v>2.5868495409492236</v>
      </c>
      <c r="O30">
        <v>2.8620756602014374</v>
      </c>
      <c r="P30">
        <v>2.9573207539737516</v>
      </c>
      <c r="Q30">
        <v>1.7810791969857729</v>
      </c>
      <c r="R30">
        <v>2.4774292256835801</v>
      </c>
      <c r="S30">
        <v>2.4878724989798355</v>
      </c>
      <c r="T30">
        <v>4.3007246228137745</v>
      </c>
      <c r="U30">
        <v>5.5319295907709023</v>
      </c>
      <c r="V30">
        <v>5.8797131829615639</v>
      </c>
      <c r="W30">
        <v>2.8203299028703692</v>
      </c>
      <c r="X30">
        <v>4.1813005423209084</v>
      </c>
      <c r="Y30">
        <v>2.2809242466560198</v>
      </c>
      <c r="Z30">
        <v>4.2353134906809782</v>
      </c>
    </row>
    <row r="31" spans="3:41" x14ac:dyDescent="0.35">
      <c r="C31" s="2">
        <v>3.300282634349827E-2</v>
      </c>
      <c r="D31" s="2">
        <v>1.0589648986931675</v>
      </c>
      <c r="E31" s="2">
        <v>0.86785989824703713</v>
      </c>
      <c r="F31" s="2">
        <v>0.51841613627193528</v>
      </c>
      <c r="G31" s="2">
        <v>0.12406410251364819</v>
      </c>
      <c r="H31" s="2">
        <v>4.5033982681542017E-2</v>
      </c>
      <c r="I31" s="2">
        <v>0.71887627895855433</v>
      </c>
      <c r="J31" s="2">
        <v>0.14106068643842296</v>
      </c>
      <c r="K31" s="1" t="s">
        <v>3</v>
      </c>
      <c r="L31">
        <v>1.6839444487153783</v>
      </c>
      <c r="M31">
        <v>1.4287790160758391</v>
      </c>
      <c r="N31">
        <v>2.2908529859035496</v>
      </c>
      <c r="O31">
        <v>1.7316439716843004</v>
      </c>
      <c r="P31">
        <v>1.1895005817482089</v>
      </c>
      <c r="Q31">
        <v>1.0529483086651457</v>
      </c>
      <c r="R31">
        <v>1.3868776922153505</v>
      </c>
      <c r="S31">
        <v>2.1325596966169478</v>
      </c>
      <c r="T31">
        <v>2.3347422728030778</v>
      </c>
      <c r="U31">
        <v>3.2328593136435972</v>
      </c>
      <c r="V31">
        <v>3.2851779053239154</v>
      </c>
      <c r="W31">
        <v>2.0840420740641763</v>
      </c>
      <c r="X31">
        <v>2.2080278526659294</v>
      </c>
      <c r="Y31">
        <v>0.91946728554064228</v>
      </c>
      <c r="Z31">
        <v>2.3154098161410399</v>
      </c>
    </row>
    <row r="32" spans="3:41" x14ac:dyDescent="0.35">
      <c r="C32" s="2">
        <v>0.20366358445713817</v>
      </c>
      <c r="D32" s="2">
        <v>0.19495528904907578</v>
      </c>
      <c r="E32" s="2">
        <v>1.0719753534737486</v>
      </c>
      <c r="F32" s="2">
        <v>0.76204033661522574</v>
      </c>
      <c r="G32" s="2">
        <v>1.1282282902422309</v>
      </c>
      <c r="H32" s="2">
        <v>0.78019498516643826</v>
      </c>
      <c r="I32" s="2">
        <v>1.2096696777358895</v>
      </c>
      <c r="J32" s="2">
        <v>1.1128932380539915</v>
      </c>
      <c r="K32" s="1" t="s">
        <v>4</v>
      </c>
      <c r="L32">
        <v>2.7986546988868795</v>
      </c>
      <c r="M32">
        <v>3.3914863279649445</v>
      </c>
      <c r="N32">
        <v>2.712520500611014</v>
      </c>
      <c r="O32">
        <v>3.4735419942103745</v>
      </c>
      <c r="P32">
        <v>3.6552661151973727</v>
      </c>
      <c r="Q32">
        <v>2.0652678138360012</v>
      </c>
      <c r="R32">
        <v>2.0876730942218678</v>
      </c>
      <c r="S32">
        <v>2.6424098317630493</v>
      </c>
      <c r="T32">
        <v>4.8269827876188627</v>
      </c>
      <c r="U32">
        <v>6.1489013517330173</v>
      </c>
      <c r="V32">
        <v>6.7007978318877672</v>
      </c>
      <c r="W32">
        <v>2.9024815117731664</v>
      </c>
      <c r="X32">
        <v>5.3330958819879477</v>
      </c>
      <c r="Y32">
        <v>2.957155640329951</v>
      </c>
      <c r="Z32">
        <v>4.4155275821938682</v>
      </c>
    </row>
    <row r="33" spans="3:28" x14ac:dyDescent="0.35">
      <c r="C33" s="2"/>
      <c r="D33" s="2"/>
      <c r="E33" s="2"/>
      <c r="F33" s="2"/>
      <c r="G33" s="2"/>
      <c r="H33" s="2"/>
      <c r="I33" s="2"/>
      <c r="J33" s="2"/>
      <c r="K33" s="1"/>
    </row>
    <row r="34" spans="3:28" x14ac:dyDescent="0.35">
      <c r="C34" s="2"/>
      <c r="D34" s="2"/>
      <c r="E34" s="2"/>
      <c r="F34" s="2"/>
      <c r="G34" s="2"/>
      <c r="H34" s="2"/>
      <c r="I34" s="2"/>
      <c r="J34" s="2"/>
      <c r="K34" s="1"/>
    </row>
    <row r="35" spans="3:28" x14ac:dyDescent="0.35">
      <c r="C35" s="2"/>
      <c r="D35" s="2"/>
      <c r="E35" s="2"/>
      <c r="F35" s="2"/>
      <c r="G35" s="2"/>
      <c r="H35" s="2"/>
      <c r="I35" s="2"/>
      <c r="J35" s="2"/>
      <c r="K35" s="1"/>
    </row>
    <row r="36" spans="3:28" x14ac:dyDescent="0.35">
      <c r="C36" s="2"/>
      <c r="D36" s="2"/>
      <c r="E36" s="2"/>
      <c r="F36" s="2"/>
      <c r="G36" s="2"/>
      <c r="H36" s="2"/>
      <c r="I36" s="2"/>
      <c r="J36" s="2"/>
      <c r="K36" s="1"/>
    </row>
    <row r="37" spans="3:28" x14ac:dyDescent="0.35">
      <c r="C37" s="2"/>
      <c r="D37" s="2"/>
      <c r="E37" s="2"/>
      <c r="F37" s="2"/>
      <c r="G37" s="2"/>
      <c r="H37" s="2"/>
      <c r="I37" s="2"/>
      <c r="J37" s="2"/>
      <c r="K37" s="1"/>
    </row>
    <row r="39" spans="3:28" x14ac:dyDescent="0.35">
      <c r="AA39" t="s">
        <v>22</v>
      </c>
      <c r="AB39" s="5" cm="1">
        <f t="array" ref="AB39">SUM(($L$5:$Z$9-_xlfn.ANCHORARRAY($L$28))^2)</f>
        <v>286.81038811664473</v>
      </c>
    </row>
    <row r="40" spans="3:28" x14ac:dyDescent="0.35">
      <c r="AA40" t="s">
        <v>23</v>
      </c>
      <c r="AB40" s="6">
        <f>SUMSQ(L19:Z26)+SUMSQ(C28:J32)</f>
        <v>75.610985140773636</v>
      </c>
    </row>
    <row r="41" spans="3:28" x14ac:dyDescent="0.35">
      <c r="AA41" t="s">
        <v>24</v>
      </c>
      <c r="AB41">
        <f>AB39+0.5*AB40</f>
        <v>324.61588068703156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</vt:lpstr>
      <vt:lpstr>With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Garg</dc:creator>
  <cp:lastModifiedBy>Vaibhav Garg</cp:lastModifiedBy>
  <dcterms:created xsi:type="dcterms:W3CDTF">2026-08-25T03:23:06Z</dcterms:created>
  <dcterms:modified xsi:type="dcterms:W3CDTF">2026-08-25T09:56:24Z</dcterms:modified>
</cp:coreProperties>
</file>